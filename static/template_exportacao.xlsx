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Luciano Faria\Desktop\Luciano\Programação\GITHUB\ProjetoIGG\static\"/>
    </mc:Choice>
  </mc:AlternateContent>
  <xr:revisionPtr revIDLastSave="0" documentId="13_ncr:1_{24BCFA17-AEA1-474E-93F2-EAAA0CA5E58B}" xr6:coauthVersionLast="47" xr6:coauthVersionMax="47" xr10:uidLastSave="{00000000-0000-0000-0000-000000000000}"/>
  <bookViews>
    <workbookView xWindow="-108" yWindow="-108" windowWidth="23256" windowHeight="12456" tabRatio="695" activeTab="2" xr2:uid="{00000000-000D-0000-FFFF-FFFF00000000}"/>
  </bookViews>
  <sheets>
    <sheet name="IDENT" sheetId="6" r:id="rId1"/>
    <sheet name="anexo_b" sheetId="1" r:id="rId2"/>
    <sheet name="anexo_c" sheetId="3" r:id="rId3"/>
    <sheet name="anexo_d" sheetId="4" r:id="rId4"/>
  </sheets>
  <definedNames>
    <definedName name="_xlnm.Print_Area" localSheetId="1">anexo_b!$A$1:$P$26</definedName>
    <definedName name="_xlnm.Print_Area" localSheetId="2">anexo_c!$A$1:$P$26</definedName>
    <definedName name="_xlnm.Print_Area" localSheetId="3">anexo_d!$A$1:$M$26</definedName>
    <definedName name="_xlnm.Print_Titles" localSheetId="1">anexo_b!$1:$9</definedName>
    <definedName name="_xlnm.Print_Titles" localSheetId="2">anexo_c!$1:$9</definedName>
    <definedName name="_xlnm.Print_Titles" localSheetId="3">anexo_d!$1:$9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3" l="1"/>
  <c r="B10" i="6"/>
  <c r="M5" i="1" s="1"/>
  <c r="B4" i="1"/>
  <c r="M4" i="1"/>
  <c r="B5" i="1"/>
  <c r="B6" i="1"/>
  <c r="M6" i="1"/>
  <c r="J6" i="4" s="1"/>
  <c r="B4" i="4"/>
  <c r="I4" i="4"/>
  <c r="J4" i="4"/>
  <c r="B5" i="4"/>
  <c r="A6" i="4"/>
  <c r="B6" i="4"/>
  <c r="I6" i="4"/>
  <c r="B4" i="3"/>
  <c r="M4" i="3"/>
  <c r="N4" i="3"/>
  <c r="B5" i="3"/>
  <c r="B6" i="3"/>
  <c r="M6" i="3"/>
  <c r="N6" i="3" l="1"/>
  <c r="J5" i="4"/>
  <c r="N5" i="3"/>
  <c r="B7" i="6"/>
  <c r="A11" i="6" l="1"/>
  <c r="A5" i="1" l="1"/>
  <c r="A5" i="3"/>
  <c r="A5" i="4"/>
</calcChain>
</file>

<file path=xl/sharedStrings.xml><?xml version="1.0" encoding="utf-8"?>
<sst xmlns="http://schemas.openxmlformats.org/spreadsheetml/2006/main" count="92" uniqueCount="64">
  <si>
    <t>Nº</t>
  </si>
  <si>
    <t>Extensão</t>
  </si>
  <si>
    <t>P</t>
  </si>
  <si>
    <t>Trincas</t>
  </si>
  <si>
    <t>TR</t>
  </si>
  <si>
    <t>TB</t>
  </si>
  <si>
    <t>Estaca</t>
  </si>
  <si>
    <t>Inicial</t>
  </si>
  <si>
    <t>Final</t>
  </si>
  <si>
    <t>km</t>
  </si>
  <si>
    <t>(m)</t>
  </si>
  <si>
    <t>R</t>
  </si>
  <si>
    <t>Deformações</t>
  </si>
  <si>
    <t>Outros Defeitos</t>
  </si>
  <si>
    <t>AF</t>
  </si>
  <si>
    <t>O</t>
  </si>
  <si>
    <t>D</t>
  </si>
  <si>
    <t>EX</t>
  </si>
  <si>
    <t>E</t>
  </si>
  <si>
    <t>SEGMENTO HOMOGÊNEO</t>
  </si>
  <si>
    <t>FREQUÊNCIA DE DEFEITOS</t>
  </si>
  <si>
    <t>RODOVIA:</t>
  </si>
  <si>
    <t>CÁLCULO DO IGGE - PRO 008/2003 DNIT</t>
  </si>
  <si>
    <t>TRINCAS</t>
  </si>
  <si>
    <r>
      <t>P</t>
    </r>
    <r>
      <rPr>
        <b/>
        <vertAlign val="subscript"/>
        <sz val="8"/>
        <color theme="1"/>
        <rFont val="Arial"/>
        <family val="2"/>
      </rPr>
      <t>t</t>
    </r>
  </si>
  <si>
    <r>
      <t>F</t>
    </r>
    <r>
      <rPr>
        <b/>
        <vertAlign val="subscript"/>
        <sz val="8"/>
        <color theme="1"/>
        <rFont val="Arial"/>
        <family val="2"/>
      </rPr>
      <t xml:space="preserve">t  x  </t>
    </r>
    <r>
      <rPr>
        <b/>
        <sz val="8"/>
        <color theme="1"/>
        <rFont val="Arial"/>
        <family val="2"/>
      </rPr>
      <t>P</t>
    </r>
    <r>
      <rPr>
        <b/>
        <vertAlign val="subscript"/>
        <sz val="8"/>
        <color theme="1"/>
        <rFont val="Arial"/>
        <family val="2"/>
      </rPr>
      <t>t</t>
    </r>
  </si>
  <si>
    <r>
      <t>F</t>
    </r>
    <r>
      <rPr>
        <b/>
        <vertAlign val="subscript"/>
        <sz val="8"/>
        <color theme="1"/>
        <rFont val="Arial"/>
        <family val="2"/>
      </rPr>
      <t xml:space="preserve">t
</t>
    </r>
    <r>
      <rPr>
        <b/>
        <sz val="8"/>
        <color theme="1"/>
        <rFont val="Arial"/>
        <family val="2"/>
      </rPr>
      <t>%</t>
    </r>
  </si>
  <si>
    <t>DEFORMAÇÕES</t>
  </si>
  <si>
    <r>
      <t>F</t>
    </r>
    <r>
      <rPr>
        <b/>
        <vertAlign val="subscript"/>
        <sz val="8"/>
        <color theme="1"/>
        <rFont val="Arial"/>
        <family val="2"/>
      </rPr>
      <t xml:space="preserve">oap
</t>
    </r>
    <r>
      <rPr>
        <b/>
        <sz val="8"/>
        <color theme="1"/>
        <rFont val="Arial"/>
        <family val="2"/>
      </rPr>
      <t>%</t>
    </r>
  </si>
  <si>
    <r>
      <t>P</t>
    </r>
    <r>
      <rPr>
        <b/>
        <vertAlign val="subscript"/>
        <sz val="8"/>
        <color theme="1"/>
        <rFont val="Arial"/>
        <family val="2"/>
      </rPr>
      <t>oap</t>
    </r>
  </si>
  <si>
    <r>
      <t>F</t>
    </r>
    <r>
      <rPr>
        <b/>
        <vertAlign val="subscript"/>
        <sz val="8"/>
        <color theme="1"/>
        <rFont val="Arial"/>
        <family val="2"/>
      </rPr>
      <t xml:space="preserve">oap  x  </t>
    </r>
    <r>
      <rPr>
        <b/>
        <sz val="8"/>
        <color theme="1"/>
        <rFont val="Arial"/>
        <family val="2"/>
      </rPr>
      <t>P</t>
    </r>
    <r>
      <rPr>
        <b/>
        <vertAlign val="subscript"/>
        <sz val="8"/>
        <color theme="1"/>
        <rFont val="Arial"/>
        <family val="2"/>
      </rPr>
      <t>oap</t>
    </r>
  </si>
  <si>
    <t>PANELA + REMENDO</t>
  </si>
  <si>
    <r>
      <t>P</t>
    </r>
    <r>
      <rPr>
        <b/>
        <vertAlign val="subscript"/>
        <sz val="8"/>
        <color theme="1"/>
        <rFont val="Arial"/>
        <family val="2"/>
      </rPr>
      <t>pr</t>
    </r>
  </si>
  <si>
    <r>
      <t>F</t>
    </r>
    <r>
      <rPr>
        <b/>
        <vertAlign val="subscript"/>
        <sz val="8"/>
        <color theme="1"/>
        <rFont val="Arial"/>
        <family val="2"/>
      </rPr>
      <t xml:space="preserve">pr  x  </t>
    </r>
    <r>
      <rPr>
        <b/>
        <sz val="8"/>
        <color theme="1"/>
        <rFont val="Arial"/>
        <family val="2"/>
      </rPr>
      <t>P</t>
    </r>
    <r>
      <rPr>
        <b/>
        <vertAlign val="subscript"/>
        <sz val="8"/>
        <color theme="1"/>
        <rFont val="Arial"/>
        <family val="2"/>
      </rPr>
      <t>pr</t>
    </r>
  </si>
  <si>
    <r>
      <t>F</t>
    </r>
    <r>
      <rPr>
        <b/>
        <vertAlign val="subscript"/>
        <sz val="8"/>
        <color theme="1"/>
        <rFont val="Arial"/>
        <family val="2"/>
      </rPr>
      <t xml:space="preserve">pr
</t>
    </r>
    <r>
      <rPr>
        <b/>
        <sz val="8"/>
        <color theme="1"/>
        <rFont val="Arial"/>
        <family val="2"/>
      </rPr>
      <t>nº</t>
    </r>
  </si>
  <si>
    <r>
      <t>(F</t>
    </r>
    <r>
      <rPr>
        <b/>
        <vertAlign val="subscript"/>
        <sz val="8"/>
        <color theme="1"/>
        <rFont val="Arial"/>
        <family val="2"/>
      </rPr>
      <t xml:space="preserve">oap  x  </t>
    </r>
    <r>
      <rPr>
        <b/>
        <sz val="8"/>
        <color theme="1"/>
        <rFont val="Arial"/>
        <family val="2"/>
      </rPr>
      <t>P</t>
    </r>
    <r>
      <rPr>
        <b/>
        <vertAlign val="subscript"/>
        <sz val="8"/>
        <color theme="1"/>
        <rFont val="Arial"/>
        <family val="2"/>
      </rPr>
      <t>oap</t>
    </r>
    <r>
      <rPr>
        <b/>
        <sz val="8"/>
        <color theme="1"/>
        <rFont val="Arial"/>
        <family val="2"/>
      </rPr>
      <t>) +</t>
    </r>
  </si>
  <si>
    <r>
      <t>(F</t>
    </r>
    <r>
      <rPr>
        <b/>
        <vertAlign val="subscript"/>
        <sz val="8"/>
        <color theme="1"/>
        <rFont val="Arial"/>
        <family val="2"/>
      </rPr>
      <t xml:space="preserve">pr  x  </t>
    </r>
    <r>
      <rPr>
        <b/>
        <sz val="8"/>
        <color theme="1"/>
        <rFont val="Arial"/>
        <family val="2"/>
      </rPr>
      <t>P</t>
    </r>
    <r>
      <rPr>
        <b/>
        <vertAlign val="subscript"/>
        <sz val="8"/>
        <color theme="1"/>
        <rFont val="Arial"/>
        <family val="2"/>
      </rPr>
      <t>pr</t>
    </r>
    <r>
      <rPr>
        <b/>
        <sz val="8"/>
        <color theme="1"/>
        <rFont val="Arial"/>
        <family val="2"/>
      </rPr>
      <t>) =</t>
    </r>
  </si>
  <si>
    <t>IES</t>
  </si>
  <si>
    <t>Valor</t>
  </si>
  <si>
    <t>Cód</t>
  </si>
  <si>
    <t>Conceito</t>
  </si>
  <si>
    <t>OBSERVAÇÕES</t>
  </si>
  <si>
    <t>ICPF</t>
  </si>
  <si>
    <t>IGGE</t>
  </si>
  <si>
    <t>Rodovia</t>
  </si>
  <si>
    <t>Início</t>
  </si>
  <si>
    <t>EXTENSÃO:</t>
  </si>
  <si>
    <t>Extensão:</t>
  </si>
  <si>
    <t xml:space="preserve">                     FORMULÁRIO DE LEVANTAMENTO VISUAL CONTÍNUO
PRO 008/2003 DNIT</t>
  </si>
  <si>
    <t xml:space="preserve">QUADRO RESUMO - PRO 008/2003 DNIT
</t>
  </si>
  <si>
    <t>TJ</t>
  </si>
  <si>
    <t>SENTIDO:</t>
  </si>
  <si>
    <t>PISTA:</t>
  </si>
  <si>
    <t>Sentido</t>
  </si>
  <si>
    <t>Pista:</t>
  </si>
  <si>
    <t>AVS</t>
  </si>
  <si>
    <t>SRE :</t>
  </si>
  <si>
    <t xml:space="preserve">SRE </t>
  </si>
  <si>
    <t>xxxxxx - xxxxxx</t>
  </si>
  <si>
    <t>Crescente / Decrescente</t>
  </si>
  <si>
    <t>BR-xxx</t>
  </si>
  <si>
    <t>xxxXXXxxxx</t>
  </si>
  <si>
    <t>SIMPLES/DUPLA/FAIXA ADICIONAL</t>
  </si>
  <si>
    <r>
      <t>(F</t>
    </r>
    <r>
      <rPr>
        <b/>
        <vertAlign val="subscript"/>
        <sz val="8"/>
        <color theme="1"/>
        <rFont val="Arial"/>
        <family val="2"/>
      </rPr>
      <t xml:space="preserve">t  x  </t>
    </r>
    <r>
      <rPr>
        <b/>
        <sz val="8"/>
        <color theme="1"/>
        <rFont val="Arial"/>
        <family val="2"/>
      </rPr>
      <t>P</t>
    </r>
    <r>
      <rPr>
        <b/>
        <vertAlign val="subscript"/>
        <sz val="8"/>
        <color theme="1"/>
        <rFont val="Arial"/>
        <family val="2"/>
      </rPr>
      <t>t</t>
    </r>
    <r>
      <rPr>
        <b/>
        <sz val="8"/>
        <color theme="1"/>
        <rFont val="Arial"/>
        <family val="2"/>
      </rPr>
      <t>) 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</si>
</sst>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vertAlign val="subscript"/>
      <sz val="8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2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0" borderId="7" xfId="0" applyBorder="1"/>
    <xf numFmtId="0" fontId="0" fillId="0" borderId="2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7" fillId="0" borderId="0" xfId="0" applyFont="1"/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4" borderId="1" xfId="0" applyFont="1" applyFill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" fontId="10" fillId="0" borderId="0" xfId="1" applyNumberFormat="1" applyFont="1" applyAlignment="1">
      <alignment horizontal="center" vertical="center"/>
    </xf>
    <xf numFmtId="4" fontId="8" fillId="0" borderId="0" xfId="1" applyNumberFormat="1" applyAlignment="1">
      <alignment horizontal="center" vertical="center"/>
    </xf>
    <xf numFmtId="0" fontId="2" fillId="0" borderId="0" xfId="0" applyFont="1"/>
    <xf numFmtId="0" fontId="3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4" fontId="10" fillId="0" borderId="14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" fontId="8" fillId="0" borderId="2" xfId="1" applyNumberForma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0" fontId="3" fillId="4" borderId="11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4" fontId="8" fillId="0" borderId="9" xfId="1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3" fontId="1" fillId="0" borderId="19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3" fontId="1" fillId="0" borderId="24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applyBorder="1"/>
    <xf numFmtId="4" fontId="1" fillId="0" borderId="15" xfId="0" applyNumberFormat="1" applyFont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164" fontId="1" fillId="0" borderId="27" xfId="0" applyNumberFormat="1" applyFont="1" applyBorder="1" applyAlignment="1">
      <alignment horizontal="center"/>
    </xf>
    <xf numFmtId="4" fontId="1" fillId="0" borderId="27" xfId="0" applyNumberFormat="1" applyFont="1" applyBorder="1" applyAlignment="1">
      <alignment horizontal="center"/>
    </xf>
    <xf numFmtId="2" fontId="1" fillId="0" borderId="27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165" fontId="1" fillId="0" borderId="28" xfId="0" applyNumberFormat="1" applyFont="1" applyBorder="1" applyAlignment="1">
      <alignment horizontal="center"/>
    </xf>
    <xf numFmtId="3" fontId="1" fillId="0" borderId="30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4" fontId="1" fillId="0" borderId="30" xfId="0" applyNumberFormat="1" applyFont="1" applyBorder="1" applyAlignment="1">
      <alignment horizontal="center"/>
    </xf>
    <xf numFmtId="2" fontId="1" fillId="0" borderId="30" xfId="0" applyNumberFormat="1" applyFont="1" applyBorder="1" applyAlignment="1">
      <alignment horizontal="center"/>
    </xf>
    <xf numFmtId="165" fontId="1" fillId="0" borderId="30" xfId="0" applyNumberFormat="1" applyFont="1" applyBorder="1" applyAlignment="1">
      <alignment horizontal="center"/>
    </xf>
    <xf numFmtId="165" fontId="1" fillId="0" borderId="31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3" fontId="1" fillId="0" borderId="26" xfId="0" applyNumberFormat="1" applyFont="1" applyBorder="1" applyAlignment="1">
      <alignment horizontal="center"/>
    </xf>
    <xf numFmtId="164" fontId="1" fillId="0" borderId="28" xfId="0" applyNumberFormat="1" applyFont="1" applyBorder="1" applyAlignment="1">
      <alignment horizontal="center"/>
    </xf>
    <xf numFmtId="3" fontId="1" fillId="0" borderId="16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3" fontId="1" fillId="0" borderId="23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3" fontId="1" fillId="0" borderId="29" xfId="0" applyNumberFormat="1" applyFont="1" applyBorder="1" applyAlignment="1">
      <alignment horizontal="center"/>
    </xf>
    <xf numFmtId="164" fontId="1" fillId="0" borderId="31" xfId="0" applyNumberFormat="1" applyFont="1" applyBorder="1" applyAlignment="1">
      <alignment horizontal="center"/>
    </xf>
    <xf numFmtId="4" fontId="1" fillId="0" borderId="36" xfId="0" applyNumberFormat="1" applyFont="1" applyBorder="1" applyAlignment="1">
      <alignment horizontal="center"/>
    </xf>
    <xf numFmtId="4" fontId="1" fillId="0" borderId="37" xfId="0" applyNumberFormat="1" applyFont="1" applyBorder="1" applyAlignment="1">
      <alignment horizontal="center"/>
    </xf>
    <xf numFmtId="4" fontId="1" fillId="0" borderId="38" xfId="0" applyNumberFormat="1" applyFont="1" applyBorder="1" applyAlignment="1">
      <alignment horizontal="center"/>
    </xf>
    <xf numFmtId="3" fontId="1" fillId="0" borderId="39" xfId="0" applyNumberFormat="1" applyFont="1" applyBorder="1" applyAlignment="1">
      <alignment horizontal="center"/>
    </xf>
    <xf numFmtId="3" fontId="1" fillId="0" borderId="40" xfId="0" applyNumberFormat="1" applyFont="1" applyBorder="1" applyAlignment="1">
      <alignment horizontal="center"/>
    </xf>
    <xf numFmtId="3" fontId="1" fillId="0" borderId="41" xfId="0" applyNumberFormat="1" applyFont="1" applyBorder="1" applyAlignment="1">
      <alignment horizontal="center"/>
    </xf>
    <xf numFmtId="3" fontId="1" fillId="0" borderId="42" xfId="0" applyNumberFormat="1" applyFont="1" applyBorder="1" applyAlignment="1">
      <alignment horizontal="center"/>
    </xf>
    <xf numFmtId="0" fontId="0" fillId="5" borderId="0" xfId="0" applyFill="1"/>
    <xf numFmtId="0" fontId="11" fillId="5" borderId="0" xfId="0" applyFont="1" applyFill="1"/>
    <xf numFmtId="0" fontId="6" fillId="5" borderId="0" xfId="0" applyFont="1" applyFill="1"/>
    <xf numFmtId="0" fontId="8" fillId="5" borderId="0" xfId="0" applyFont="1" applyFill="1"/>
    <xf numFmtId="0" fontId="6" fillId="0" borderId="2" xfId="0" applyFont="1" applyBorder="1"/>
    <xf numFmtId="0" fontId="11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65" fontId="11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4" fontId="9" fillId="0" borderId="3" xfId="1" applyNumberFormat="1" applyFont="1" applyBorder="1" applyAlignment="1">
      <alignment horizontal="center" vertical="center" wrapText="1"/>
    </xf>
    <xf numFmtId="4" fontId="9" fillId="0" borderId="4" xfId="1" applyNumberFormat="1" applyFont="1" applyBorder="1" applyAlignment="1">
      <alignment horizontal="center" vertical="center" wrapText="1"/>
    </xf>
    <xf numFmtId="4" fontId="9" fillId="0" borderId="5" xfId="1" applyNumberFormat="1" applyFont="1" applyBorder="1" applyAlignment="1">
      <alignment horizontal="center" vertical="center" wrapText="1"/>
    </xf>
    <xf numFmtId="4" fontId="9" fillId="0" borderId="6" xfId="1" applyNumberFormat="1" applyFont="1" applyBorder="1" applyAlignment="1">
      <alignment horizontal="center" vertical="center" wrapText="1"/>
    </xf>
    <xf numFmtId="4" fontId="9" fillId="0" borderId="0" xfId="1" applyNumberFormat="1" applyFont="1" applyAlignment="1">
      <alignment horizontal="center" vertical="center" wrapText="1"/>
    </xf>
    <xf numFmtId="4" fontId="9" fillId="0" borderId="7" xfId="1" applyNumberFormat="1" applyFont="1" applyBorder="1" applyAlignment="1">
      <alignment horizontal="center" vertical="center" wrapText="1"/>
    </xf>
    <xf numFmtId="4" fontId="9" fillId="0" borderId="8" xfId="1" applyNumberFormat="1" applyFont="1" applyBorder="1" applyAlignment="1">
      <alignment horizontal="center" vertical="center" wrapText="1"/>
    </xf>
    <xf numFmtId="4" fontId="9" fillId="0" borderId="2" xfId="1" applyNumberFormat="1" applyFont="1" applyBorder="1" applyAlignment="1">
      <alignment horizontal="center" vertical="center" wrapText="1"/>
    </xf>
    <xf numFmtId="4" fontId="9" fillId="0" borderId="9" xfId="1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</cellXfs>
  <cellStyles count="3">
    <cellStyle name="Normal" xfId="0" builtinId="0"/>
    <cellStyle name="Normal 8" xfId="2" xr:uid="{00000000-0005-0000-0000-000001000000}"/>
    <cellStyle name="Normal_DNER  PRO 011-79" xfId="1" xr:uid="{00000000-0005-0000-0000-000002000000}"/>
  </cellStyles>
  <dxfs count="11"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tabColor rgb="FFFF0000"/>
  </sheetPr>
  <dimension ref="A2:D20"/>
  <sheetViews>
    <sheetView workbookViewId="0">
      <selection activeCell="H21" sqref="H21"/>
    </sheetView>
  </sheetViews>
  <sheetFormatPr defaultColWidth="9.109375" defaultRowHeight="14.4" x14ac:dyDescent="0.3"/>
  <cols>
    <col min="1" max="1" width="13.33203125" style="89" bestFit="1" customWidth="1"/>
    <col min="2" max="2" width="24" style="97" bestFit="1" customWidth="1"/>
    <col min="3" max="4" width="9.109375" style="89"/>
    <col min="5" max="5" width="13.33203125" style="89" bestFit="1" customWidth="1"/>
    <col min="6" max="16384" width="9.109375" style="89"/>
  </cols>
  <sheetData>
    <row r="2" spans="1:4" x14ac:dyDescent="0.3">
      <c r="A2" s="90"/>
      <c r="B2" s="94"/>
      <c r="D2" s="91"/>
    </row>
    <row r="3" spans="1:4" x14ac:dyDescent="0.3">
      <c r="A3" s="92"/>
      <c r="B3" s="95"/>
    </row>
    <row r="4" spans="1:4" x14ac:dyDescent="0.3">
      <c r="A4" s="90"/>
      <c r="B4" s="95"/>
    </row>
    <row r="5" spans="1:4" x14ac:dyDescent="0.3">
      <c r="A5" s="92"/>
      <c r="B5" s="94"/>
    </row>
    <row r="6" spans="1:4" x14ac:dyDescent="0.3">
      <c r="A6" s="92" t="s">
        <v>44</v>
      </c>
      <c r="B6" s="94" t="s">
        <v>60</v>
      </c>
    </row>
    <row r="7" spans="1:4" x14ac:dyDescent="0.3">
      <c r="A7" s="92" t="s">
        <v>45</v>
      </c>
      <c r="B7" s="94">
        <f>$B$2</f>
        <v>0</v>
      </c>
    </row>
    <row r="8" spans="1:4" x14ac:dyDescent="0.3">
      <c r="A8" s="92" t="s">
        <v>8</v>
      </c>
      <c r="B8" s="96">
        <v>1000000</v>
      </c>
    </row>
    <row r="9" spans="1:4" x14ac:dyDescent="0.3">
      <c r="A9" s="92" t="s">
        <v>53</v>
      </c>
      <c r="B9" s="94" t="s">
        <v>59</v>
      </c>
    </row>
    <row r="10" spans="1:4" x14ac:dyDescent="0.3">
      <c r="A10" s="92" t="s">
        <v>47</v>
      </c>
      <c r="B10" s="96" t="str">
        <f>B8-B7&amp;" km"</f>
        <v>1000000 km</v>
      </c>
    </row>
    <row r="11" spans="1:4" x14ac:dyDescent="0.3">
      <c r="A11" s="92" t="str">
        <f>IF(OR(B16="ACESSO",B16="INTERSEÇÃO"),"KM REF:", "Trecho:")</f>
        <v>Trecho:</v>
      </c>
      <c r="B11" s="94" t="s">
        <v>58</v>
      </c>
    </row>
    <row r="12" spans="1:4" x14ac:dyDescent="0.3">
      <c r="A12" s="92" t="s">
        <v>54</v>
      </c>
      <c r="B12" s="94" t="s">
        <v>62</v>
      </c>
    </row>
    <row r="13" spans="1:4" x14ac:dyDescent="0.3">
      <c r="A13" s="92"/>
      <c r="B13" s="94"/>
    </row>
    <row r="14" spans="1:4" x14ac:dyDescent="0.3">
      <c r="A14" s="92" t="s">
        <v>57</v>
      </c>
      <c r="B14" s="94" t="s">
        <v>61</v>
      </c>
    </row>
    <row r="15" spans="1:4" x14ac:dyDescent="0.3">
      <c r="A15" s="92"/>
      <c r="B15" s="94"/>
    </row>
    <row r="16" spans="1:4" x14ac:dyDescent="0.3">
      <c r="A16" s="92"/>
      <c r="B16" s="94"/>
    </row>
    <row r="17" spans="1:1" x14ac:dyDescent="0.3">
      <c r="A17" s="92"/>
    </row>
    <row r="18" spans="1:1" x14ac:dyDescent="0.3">
      <c r="A18" s="92"/>
    </row>
    <row r="19" spans="1:1" x14ac:dyDescent="0.3">
      <c r="A19" s="92"/>
    </row>
    <row r="20" spans="1:1" x14ac:dyDescent="0.3">
      <c r="A20" s="9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T26"/>
  <sheetViews>
    <sheetView showGridLines="0" view="pageBreakPreview" topLeftCell="A2" zoomScale="115" zoomScaleNormal="100" zoomScaleSheetLayoutView="115" workbookViewId="0">
      <selection activeCell="L9" sqref="L9"/>
    </sheetView>
  </sheetViews>
  <sheetFormatPr defaultRowHeight="14.4" x14ac:dyDescent="0.3"/>
  <cols>
    <col min="1" max="3" width="10.5546875" customWidth="1"/>
    <col min="4" max="5" width="10.5546875" style="1" customWidth="1"/>
    <col min="6" max="6" width="10.5546875" customWidth="1"/>
    <col min="7" max="16" width="5.6640625" customWidth="1"/>
  </cols>
  <sheetData>
    <row r="1" spans="1:20" ht="20.25" customHeight="1" x14ac:dyDescent="0.3">
      <c r="A1" s="98" t="s">
        <v>48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100"/>
      <c r="Q1" s="10"/>
      <c r="R1" s="108"/>
      <c r="S1" s="108"/>
      <c r="T1" s="108"/>
    </row>
    <row r="2" spans="1:20" ht="17.25" customHeight="1" x14ac:dyDescent="0.3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3"/>
      <c r="Q2" s="10"/>
      <c r="R2" s="107"/>
      <c r="S2" s="107"/>
      <c r="T2" s="107"/>
    </row>
    <row r="3" spans="1:20" ht="12" customHeight="1" x14ac:dyDescent="0.3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6"/>
      <c r="Q3" s="10"/>
    </row>
    <row r="4" spans="1:20" x14ac:dyDescent="0.3">
      <c r="A4" s="14" t="s">
        <v>21</v>
      </c>
      <c r="B4" s="16" t="str">
        <f>IDENT!B6</f>
        <v>BR-xxx</v>
      </c>
      <c r="C4" s="16"/>
      <c r="D4" s="40"/>
      <c r="E4" s="17"/>
      <c r="F4" s="18"/>
      <c r="G4" s="15"/>
      <c r="H4" s="16"/>
      <c r="I4" s="18"/>
      <c r="J4" s="18"/>
      <c r="K4" s="15"/>
      <c r="L4" s="11" t="s">
        <v>51</v>
      </c>
      <c r="M4" s="38" t="str">
        <f>IDENT!B9</f>
        <v>Crescente / Decrescente</v>
      </c>
      <c r="O4" s="3"/>
      <c r="P4" s="4"/>
    </row>
    <row r="5" spans="1:20" x14ac:dyDescent="0.3">
      <c r="A5" s="14" t="str">
        <f>IDENT!A11</f>
        <v>Trecho:</v>
      </c>
      <c r="B5" s="16" t="str">
        <f>IDENT!B11</f>
        <v>xxxxxx - xxxxxx</v>
      </c>
      <c r="C5" s="16"/>
      <c r="D5" s="40"/>
      <c r="E5" s="17"/>
      <c r="F5" s="18"/>
      <c r="G5" s="19"/>
      <c r="H5" s="16"/>
      <c r="I5" s="18"/>
      <c r="J5" s="18"/>
      <c r="K5" s="15"/>
      <c r="L5" s="12" t="s">
        <v>46</v>
      </c>
      <c r="M5" s="5" t="str">
        <f>TEXT(IDENT!$B$10,"0,00")&amp;" km"</f>
        <v>1000000 km km</v>
      </c>
      <c r="P5" s="6"/>
    </row>
    <row r="6" spans="1:20" x14ac:dyDescent="0.3">
      <c r="A6" s="14" t="s">
        <v>56</v>
      </c>
      <c r="B6" s="16" t="str">
        <f>IDENT!B14</f>
        <v>xxxXXXxxxx</v>
      </c>
      <c r="C6" s="16"/>
      <c r="D6" s="41"/>
      <c r="E6" s="22"/>
      <c r="F6" s="18"/>
      <c r="G6" s="23"/>
      <c r="I6" s="18"/>
      <c r="J6" s="18"/>
      <c r="K6" s="18"/>
      <c r="L6" s="12" t="s">
        <v>52</v>
      </c>
      <c r="M6" s="5" t="str">
        <f>IDENT!B12</f>
        <v>SIMPLES/DUPLA/FAIXA ADICIONAL</v>
      </c>
      <c r="N6" s="7"/>
      <c r="O6" s="7"/>
      <c r="P6" s="8"/>
    </row>
    <row r="7" spans="1:20" x14ac:dyDescent="0.3">
      <c r="A7" s="110" t="s">
        <v>19</v>
      </c>
      <c r="B7" s="110"/>
      <c r="C7" s="110"/>
      <c r="D7" s="110"/>
      <c r="E7" s="110"/>
      <c r="F7" s="110"/>
      <c r="G7" s="110" t="s">
        <v>20</v>
      </c>
      <c r="H7" s="110"/>
      <c r="I7" s="110"/>
      <c r="J7" s="110"/>
      <c r="K7" s="110"/>
      <c r="L7" s="110"/>
      <c r="M7" s="110"/>
      <c r="N7" s="110"/>
      <c r="O7" s="110"/>
      <c r="P7" s="110"/>
    </row>
    <row r="8" spans="1:20" s="2" customFormat="1" x14ac:dyDescent="0.3">
      <c r="A8" s="109" t="s">
        <v>0</v>
      </c>
      <c r="B8" s="111" t="s">
        <v>6</v>
      </c>
      <c r="C8" s="111"/>
      <c r="D8" s="111" t="s">
        <v>9</v>
      </c>
      <c r="E8" s="111"/>
      <c r="F8" s="35" t="s">
        <v>1</v>
      </c>
      <c r="G8" s="109" t="s">
        <v>2</v>
      </c>
      <c r="H8" s="109" t="s">
        <v>3</v>
      </c>
      <c r="I8" s="109"/>
      <c r="J8" s="109"/>
      <c r="K8" s="109" t="s">
        <v>11</v>
      </c>
      <c r="L8" s="109" t="s">
        <v>12</v>
      </c>
      <c r="M8" s="109"/>
      <c r="N8" s="109" t="s">
        <v>13</v>
      </c>
      <c r="O8" s="109"/>
      <c r="P8" s="109"/>
    </row>
    <row r="9" spans="1:20" x14ac:dyDescent="0.3">
      <c r="A9" s="109"/>
      <c r="B9" s="13" t="s">
        <v>7</v>
      </c>
      <c r="C9" s="35" t="s">
        <v>8</v>
      </c>
      <c r="D9" s="13" t="s">
        <v>7</v>
      </c>
      <c r="E9" s="35" t="s">
        <v>8</v>
      </c>
      <c r="F9" s="34" t="s">
        <v>10</v>
      </c>
      <c r="G9" s="109"/>
      <c r="H9" s="34" t="s">
        <v>4</v>
      </c>
      <c r="I9" s="34" t="s">
        <v>50</v>
      </c>
      <c r="J9" s="34" t="s">
        <v>5</v>
      </c>
      <c r="K9" s="109"/>
      <c r="L9" s="34" t="s">
        <v>14</v>
      </c>
      <c r="M9" s="34" t="s">
        <v>15</v>
      </c>
      <c r="N9" s="34" t="s">
        <v>16</v>
      </c>
      <c r="O9" s="34" t="s">
        <v>17</v>
      </c>
      <c r="P9" s="34" t="s">
        <v>18</v>
      </c>
    </row>
    <row r="10" spans="1:20" x14ac:dyDescent="0.3">
      <c r="A10" s="42"/>
      <c r="B10" s="43"/>
      <c r="C10" s="43"/>
      <c r="D10" s="44"/>
      <c r="E10" s="44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5"/>
    </row>
    <row r="11" spans="1:20" x14ac:dyDescent="0.3">
      <c r="A11" s="42"/>
      <c r="B11" s="43"/>
      <c r="C11" s="43"/>
      <c r="D11" s="44"/>
      <c r="E11" s="44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5"/>
    </row>
    <row r="12" spans="1:20" x14ac:dyDescent="0.3">
      <c r="A12" s="46"/>
      <c r="B12" s="47"/>
      <c r="C12" s="47"/>
      <c r="D12" s="48"/>
      <c r="E12" s="48"/>
      <c r="F12" s="47"/>
      <c r="G12" s="43"/>
      <c r="H12" s="43"/>
      <c r="I12" s="43"/>
      <c r="J12" s="43"/>
      <c r="K12" s="43"/>
      <c r="L12" s="43"/>
      <c r="M12" s="43"/>
      <c r="N12" s="43"/>
      <c r="O12" s="43"/>
      <c r="P12" s="45"/>
    </row>
    <row r="13" spans="1:20" x14ac:dyDescent="0.3">
      <c r="A13" s="46"/>
      <c r="B13" s="47"/>
      <c r="C13" s="47"/>
      <c r="D13" s="44"/>
      <c r="E13" s="48"/>
      <c r="F13" s="47"/>
      <c r="G13" s="43"/>
      <c r="H13" s="43"/>
      <c r="I13" s="43"/>
      <c r="J13" s="43"/>
      <c r="K13" s="43"/>
      <c r="L13" s="43"/>
      <c r="M13" s="43"/>
      <c r="N13" s="43"/>
      <c r="O13" s="43"/>
      <c r="P13" s="45"/>
    </row>
    <row r="14" spans="1:20" x14ac:dyDescent="0.3">
      <c r="A14" s="46"/>
      <c r="B14" s="47"/>
      <c r="C14" s="47"/>
      <c r="D14" s="48"/>
      <c r="E14" s="48"/>
      <c r="F14" s="47"/>
      <c r="G14" s="43"/>
      <c r="H14" s="43"/>
      <c r="I14" s="43"/>
      <c r="J14" s="43"/>
      <c r="K14" s="43"/>
      <c r="L14" s="43"/>
      <c r="M14" s="43"/>
      <c r="N14" s="43"/>
      <c r="O14" s="43"/>
      <c r="P14" s="45"/>
    </row>
    <row r="15" spans="1:20" x14ac:dyDescent="0.3">
      <c r="A15" s="46"/>
      <c r="B15" s="47"/>
      <c r="C15" s="47"/>
      <c r="D15" s="44"/>
      <c r="E15" s="48"/>
      <c r="F15" s="47"/>
      <c r="G15" s="43"/>
      <c r="H15" s="43"/>
      <c r="I15" s="43"/>
      <c r="J15" s="43"/>
      <c r="K15" s="43"/>
      <c r="L15" s="43"/>
      <c r="M15" s="43"/>
      <c r="N15" s="43"/>
      <c r="O15" s="43"/>
      <c r="P15" s="45"/>
    </row>
    <row r="16" spans="1:20" x14ac:dyDescent="0.3">
      <c r="A16" s="46"/>
      <c r="B16" s="47"/>
      <c r="C16" s="47"/>
      <c r="D16" s="48"/>
      <c r="E16" s="48"/>
      <c r="F16" s="47"/>
      <c r="G16" s="43"/>
      <c r="H16" s="43"/>
      <c r="I16" s="43"/>
      <c r="J16" s="43"/>
      <c r="K16" s="43"/>
      <c r="L16" s="43"/>
      <c r="M16" s="43"/>
      <c r="N16" s="43"/>
      <c r="O16" s="43"/>
      <c r="P16" s="45"/>
    </row>
    <row r="17" spans="1:16" x14ac:dyDescent="0.3">
      <c r="A17" s="46"/>
      <c r="B17" s="47"/>
      <c r="C17" s="47"/>
      <c r="D17" s="44"/>
      <c r="E17" s="48"/>
      <c r="F17" s="47"/>
      <c r="G17" s="43"/>
      <c r="H17" s="43"/>
      <c r="I17" s="43"/>
      <c r="J17" s="43"/>
      <c r="K17" s="43"/>
      <c r="L17" s="43"/>
      <c r="M17" s="43"/>
      <c r="N17" s="43"/>
      <c r="O17" s="43"/>
      <c r="P17" s="45"/>
    </row>
    <row r="18" spans="1:16" x14ac:dyDescent="0.3">
      <c r="A18" s="46"/>
      <c r="B18" s="47"/>
      <c r="C18" s="47"/>
      <c r="D18" s="48"/>
      <c r="E18" s="48"/>
      <c r="F18" s="47"/>
      <c r="G18" s="43"/>
      <c r="H18" s="43"/>
      <c r="I18" s="43"/>
      <c r="J18" s="43"/>
      <c r="K18" s="43"/>
      <c r="L18" s="43"/>
      <c r="M18" s="43"/>
      <c r="N18" s="43"/>
      <c r="O18" s="43"/>
      <c r="P18" s="45"/>
    </row>
    <row r="19" spans="1:16" x14ac:dyDescent="0.3">
      <c r="A19" s="46"/>
      <c r="B19" s="47"/>
      <c r="C19" s="47"/>
      <c r="D19" s="44"/>
      <c r="E19" s="48"/>
      <c r="F19" s="47"/>
      <c r="G19" s="43"/>
      <c r="H19" s="43"/>
      <c r="I19" s="43"/>
      <c r="J19" s="43"/>
      <c r="K19" s="43"/>
      <c r="L19" s="43"/>
      <c r="M19" s="43"/>
      <c r="N19" s="43"/>
      <c r="O19" s="43"/>
      <c r="P19" s="45"/>
    </row>
    <row r="20" spans="1:16" x14ac:dyDescent="0.3">
      <c r="A20" s="46"/>
      <c r="B20" s="47"/>
      <c r="C20" s="47"/>
      <c r="D20" s="48"/>
      <c r="E20" s="48"/>
      <c r="F20" s="47"/>
      <c r="G20" s="43"/>
      <c r="H20" s="43"/>
      <c r="I20" s="43"/>
      <c r="J20" s="43"/>
      <c r="K20" s="43"/>
      <c r="L20" s="43"/>
      <c r="M20" s="43"/>
      <c r="N20" s="43"/>
      <c r="O20" s="43"/>
      <c r="P20" s="45"/>
    </row>
    <row r="21" spans="1:16" x14ac:dyDescent="0.3">
      <c r="A21" s="46"/>
      <c r="B21" s="47"/>
      <c r="C21" s="47"/>
      <c r="D21" s="44"/>
      <c r="E21" s="48"/>
      <c r="F21" s="47"/>
      <c r="G21" s="43"/>
      <c r="H21" s="43"/>
      <c r="I21" s="43"/>
      <c r="J21" s="43"/>
      <c r="K21" s="43"/>
      <c r="L21" s="43"/>
      <c r="M21" s="43"/>
      <c r="N21" s="43"/>
      <c r="O21" s="43"/>
      <c r="P21" s="45"/>
    </row>
    <row r="22" spans="1:16" x14ac:dyDescent="0.3">
      <c r="A22" s="46"/>
      <c r="B22" s="47"/>
      <c r="C22" s="47"/>
      <c r="D22" s="48"/>
      <c r="E22" s="48"/>
      <c r="F22" s="47"/>
      <c r="G22" s="43"/>
      <c r="H22" s="43"/>
      <c r="I22" s="43"/>
      <c r="J22" s="43"/>
      <c r="K22" s="43"/>
      <c r="L22" s="43"/>
      <c r="M22" s="43"/>
      <c r="N22" s="43"/>
      <c r="O22" s="43"/>
      <c r="P22" s="45"/>
    </row>
    <row r="23" spans="1:16" x14ac:dyDescent="0.3">
      <c r="A23" s="46"/>
      <c r="B23" s="47"/>
      <c r="C23" s="47"/>
      <c r="D23" s="44"/>
      <c r="E23" s="48"/>
      <c r="F23" s="47"/>
      <c r="G23" s="43"/>
      <c r="H23" s="43"/>
      <c r="I23" s="43"/>
      <c r="J23" s="43"/>
      <c r="K23" s="43"/>
      <c r="L23" s="43"/>
      <c r="M23" s="43"/>
      <c r="N23" s="43"/>
      <c r="O23" s="43"/>
      <c r="P23" s="45"/>
    </row>
    <row r="24" spans="1:16" x14ac:dyDescent="0.3">
      <c r="A24" s="46"/>
      <c r="B24" s="47"/>
      <c r="C24" s="47"/>
      <c r="D24" s="48"/>
      <c r="E24" s="48"/>
      <c r="F24" s="47"/>
      <c r="G24" s="43"/>
      <c r="H24" s="43"/>
      <c r="I24" s="43"/>
      <c r="J24" s="43"/>
      <c r="K24" s="43"/>
      <c r="L24" s="43"/>
      <c r="M24" s="43"/>
      <c r="N24" s="43"/>
      <c r="O24" s="43"/>
      <c r="P24" s="45"/>
    </row>
    <row r="25" spans="1:16" x14ac:dyDescent="0.3">
      <c r="A25" s="46"/>
      <c r="B25" s="47"/>
      <c r="C25" s="47"/>
      <c r="D25" s="44"/>
      <c r="E25" s="48"/>
      <c r="F25" s="47"/>
      <c r="G25" s="43"/>
      <c r="H25" s="43"/>
      <c r="I25" s="43"/>
      <c r="J25" s="43"/>
      <c r="K25" s="43"/>
      <c r="L25" s="43"/>
      <c r="M25" s="43"/>
      <c r="N25" s="43"/>
      <c r="O25" s="43"/>
      <c r="P25" s="45"/>
    </row>
    <row r="26" spans="1:16" x14ac:dyDescent="0.3">
      <c r="A26" s="46"/>
      <c r="B26" s="47"/>
      <c r="C26" s="47"/>
      <c r="D26" s="48"/>
      <c r="E26" s="48"/>
      <c r="F26" s="47"/>
      <c r="G26" s="43"/>
      <c r="H26" s="43"/>
      <c r="I26" s="43"/>
      <c r="J26" s="43"/>
      <c r="K26" s="43"/>
      <c r="L26" s="43"/>
      <c r="M26" s="43"/>
      <c r="N26" s="43"/>
      <c r="O26" s="43"/>
      <c r="P26" s="45"/>
    </row>
  </sheetData>
  <mergeCells count="13">
    <mergeCell ref="A1:P3"/>
    <mergeCell ref="R2:T2"/>
    <mergeCell ref="R1:T1"/>
    <mergeCell ref="L8:M8"/>
    <mergeCell ref="N8:P8"/>
    <mergeCell ref="A7:F7"/>
    <mergeCell ref="G7:P7"/>
    <mergeCell ref="H8:J8"/>
    <mergeCell ref="A8:A9"/>
    <mergeCell ref="D8:E8"/>
    <mergeCell ref="B8:C8"/>
    <mergeCell ref="G8:G9"/>
    <mergeCell ref="K8:K9"/>
  </mergeCells>
  <conditionalFormatting sqref="A1">
    <cfRule type="cellIs" dxfId="10" priority="5" operator="equal">
      <formula>0</formula>
    </cfRule>
  </conditionalFormatting>
  <conditionalFormatting sqref="A4:A6">
    <cfRule type="cellIs" dxfId="9" priority="1" operator="equal">
      <formula>0</formula>
    </cfRule>
  </conditionalFormatting>
  <conditionalFormatting sqref="G4">
    <cfRule type="cellIs" dxfId="8" priority="4" operator="equal">
      <formula>0</formula>
    </cfRule>
  </conditionalFormatting>
  <dataValidations count="1">
    <dataValidation type="list" allowBlank="1" showInputMessage="1" showErrorMessage="1" sqref="R2:T2" xr:uid="{00000000-0002-0000-0000-000000000000}">
      <formula1>$Q$1:$Q$2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P26"/>
  <sheetViews>
    <sheetView showGridLines="0" tabSelected="1" view="pageBreakPreview" zoomScaleNormal="100" zoomScaleSheetLayoutView="100" workbookViewId="0">
      <selection activeCell="P7" sqref="P7"/>
    </sheetView>
  </sheetViews>
  <sheetFormatPr defaultRowHeight="14.4" x14ac:dyDescent="0.3"/>
  <cols>
    <col min="1" max="1" width="8.88671875" customWidth="1"/>
    <col min="2" max="3" width="7.109375" customWidth="1"/>
    <col min="4" max="5" width="8.88671875" style="1" customWidth="1"/>
    <col min="7" max="11" width="7" customWidth="1"/>
    <col min="12" max="12" width="7.5546875" customWidth="1"/>
    <col min="13" max="15" width="7" customWidth="1"/>
    <col min="16" max="16" width="15" customWidth="1"/>
  </cols>
  <sheetData>
    <row r="1" spans="1:16" ht="20.25" customHeight="1" x14ac:dyDescent="0.3">
      <c r="A1" s="98" t="s">
        <v>22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100"/>
    </row>
    <row r="2" spans="1:16" ht="20.25" customHeight="1" x14ac:dyDescent="0.3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3"/>
    </row>
    <row r="3" spans="1:16" ht="20.25" customHeight="1" x14ac:dyDescent="0.3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6"/>
    </row>
    <row r="4" spans="1:16" x14ac:dyDescent="0.3">
      <c r="A4" s="14" t="s">
        <v>21</v>
      </c>
      <c r="B4" s="39" t="str">
        <f>IDENT!B6</f>
        <v>BR-xxx</v>
      </c>
      <c r="C4" s="16"/>
      <c r="D4" s="40"/>
      <c r="E4" s="17"/>
      <c r="F4" s="18"/>
      <c r="G4" s="15"/>
      <c r="H4" s="16"/>
      <c r="I4" s="18"/>
      <c r="J4" s="18"/>
      <c r="K4" s="15"/>
      <c r="L4" s="11"/>
      <c r="M4" s="11" t="str">
        <f>anexo_b!L4</f>
        <v>SENTIDO:</v>
      </c>
      <c r="N4" s="38" t="str">
        <f>IDENT!B9</f>
        <v>Crescente / Decrescente</v>
      </c>
      <c r="O4" s="3"/>
      <c r="P4" s="4"/>
    </row>
    <row r="5" spans="1:16" x14ac:dyDescent="0.3">
      <c r="A5" s="14" t="str">
        <f>IDENT!A11</f>
        <v>Trecho:</v>
      </c>
      <c r="B5" s="39" t="str">
        <f>IDENT!B11</f>
        <v>xxxxxx - xxxxxx</v>
      </c>
      <c r="C5" s="16"/>
      <c r="D5" s="40"/>
      <c r="E5" s="17"/>
      <c r="F5" s="18"/>
      <c r="G5" s="19"/>
      <c r="H5" s="16"/>
      <c r="I5" s="18"/>
      <c r="J5" s="18"/>
      <c r="K5" s="15"/>
      <c r="L5" s="12"/>
      <c r="M5" s="12" t="s">
        <v>46</v>
      </c>
      <c r="N5" s="5" t="str">
        <f>TEXT(IDENT!$B$10,"0,00")&amp;" km"</f>
        <v>1000000 km km</v>
      </c>
      <c r="P5" s="6"/>
    </row>
    <row r="6" spans="1:16" x14ac:dyDescent="0.3">
      <c r="A6" s="20" t="s">
        <v>56</v>
      </c>
      <c r="B6" s="16" t="str">
        <f>anexo_b!B6</f>
        <v>xxxXXXxxxx</v>
      </c>
      <c r="C6" s="16"/>
      <c r="D6" s="41"/>
      <c r="E6" s="22"/>
      <c r="F6" s="18"/>
      <c r="G6" s="23"/>
      <c r="I6" s="18"/>
      <c r="J6" s="18"/>
      <c r="K6" s="18"/>
      <c r="L6" s="24"/>
      <c r="M6" s="93" t="str">
        <f>anexo_b!L6</f>
        <v>PISTA:</v>
      </c>
      <c r="N6" s="7" t="str">
        <f>anexo_b!M6</f>
        <v>SIMPLES/DUPLA/FAIXA ADICIONAL</v>
      </c>
      <c r="O6" s="7"/>
      <c r="P6" s="8"/>
    </row>
    <row r="7" spans="1:16" ht="15" customHeight="1" x14ac:dyDescent="0.3">
      <c r="A7" s="110" t="s">
        <v>19</v>
      </c>
      <c r="B7" s="110"/>
      <c r="C7" s="110"/>
      <c r="D7" s="110"/>
      <c r="E7" s="110"/>
      <c r="F7" s="110"/>
      <c r="G7" s="109" t="s">
        <v>23</v>
      </c>
      <c r="H7" s="109"/>
      <c r="I7" s="109"/>
      <c r="J7" s="109" t="s">
        <v>27</v>
      </c>
      <c r="K7" s="109"/>
      <c r="L7" s="109"/>
      <c r="M7" s="109" t="s">
        <v>31</v>
      </c>
      <c r="N7" s="109"/>
      <c r="O7" s="109"/>
      <c r="P7" s="36" t="s">
        <v>63</v>
      </c>
    </row>
    <row r="8" spans="1:16" x14ac:dyDescent="0.3">
      <c r="A8" s="109" t="s">
        <v>0</v>
      </c>
      <c r="B8" s="111" t="s">
        <v>6</v>
      </c>
      <c r="C8" s="111"/>
      <c r="D8" s="111" t="s">
        <v>9</v>
      </c>
      <c r="E8" s="111"/>
      <c r="F8" s="35" t="s">
        <v>1</v>
      </c>
      <c r="G8" s="111" t="s">
        <v>26</v>
      </c>
      <c r="H8" s="109" t="s">
        <v>24</v>
      </c>
      <c r="I8" s="109" t="s">
        <v>25</v>
      </c>
      <c r="J8" s="111" t="s">
        <v>28</v>
      </c>
      <c r="K8" s="109" t="s">
        <v>29</v>
      </c>
      <c r="L8" s="109" t="s">
        <v>30</v>
      </c>
      <c r="M8" s="111" t="s">
        <v>34</v>
      </c>
      <c r="N8" s="109" t="s">
        <v>32</v>
      </c>
      <c r="O8" s="109" t="s">
        <v>33</v>
      </c>
      <c r="P8" s="37" t="s">
        <v>35</v>
      </c>
    </row>
    <row r="9" spans="1:16" x14ac:dyDescent="0.3">
      <c r="A9" s="112"/>
      <c r="B9" s="29" t="s">
        <v>7</v>
      </c>
      <c r="C9" s="30" t="s">
        <v>8</v>
      </c>
      <c r="D9" s="29" t="s">
        <v>7</v>
      </c>
      <c r="E9" s="30" t="s">
        <v>8</v>
      </c>
      <c r="F9" s="31" t="s">
        <v>10</v>
      </c>
      <c r="G9" s="112"/>
      <c r="H9" s="112"/>
      <c r="I9" s="112"/>
      <c r="J9" s="112"/>
      <c r="K9" s="112"/>
      <c r="L9" s="112"/>
      <c r="M9" s="112"/>
      <c r="N9" s="112"/>
      <c r="O9" s="112"/>
      <c r="P9" s="37" t="s">
        <v>36</v>
      </c>
    </row>
    <row r="10" spans="1:16" x14ac:dyDescent="0.3">
      <c r="A10" s="70"/>
      <c r="B10" s="74">
        <f>D10/0.02</f>
        <v>50</v>
      </c>
      <c r="C10" s="58"/>
      <c r="D10" s="59">
        <v>1</v>
      </c>
      <c r="E10" s="75">
        <v>2</v>
      </c>
      <c r="F10" s="85"/>
      <c r="G10" s="82"/>
      <c r="H10" s="61"/>
      <c r="I10" s="63"/>
      <c r="J10" s="82"/>
      <c r="K10" s="61"/>
      <c r="L10" s="62"/>
      <c r="M10" s="60"/>
      <c r="N10" s="61"/>
      <c r="O10" s="62"/>
      <c r="P10" s="63"/>
    </row>
    <row r="11" spans="1:16" x14ac:dyDescent="0.3">
      <c r="A11" s="71"/>
      <c r="B11" s="76"/>
      <c r="C11" s="25"/>
      <c r="D11" s="32"/>
      <c r="E11" s="77"/>
      <c r="F11" s="86"/>
      <c r="G11" s="83"/>
      <c r="H11" s="26"/>
      <c r="I11" s="28"/>
      <c r="J11" s="83"/>
      <c r="K11" s="26"/>
      <c r="L11" s="27"/>
      <c r="M11" s="57"/>
      <c r="N11" s="26"/>
      <c r="O11" s="27"/>
      <c r="P11" s="28"/>
    </row>
    <row r="12" spans="1:16" x14ac:dyDescent="0.3">
      <c r="A12" s="72"/>
      <c r="B12" s="78"/>
      <c r="C12" s="49"/>
      <c r="D12" s="50"/>
      <c r="E12" s="79"/>
      <c r="F12" s="87"/>
      <c r="G12" s="83"/>
      <c r="H12" s="26"/>
      <c r="I12" s="28"/>
      <c r="J12" s="83"/>
      <c r="K12" s="26"/>
      <c r="L12" s="27"/>
      <c r="M12" s="57"/>
      <c r="N12" s="26"/>
      <c r="O12" s="27"/>
      <c r="P12" s="28"/>
    </row>
    <row r="13" spans="1:16" x14ac:dyDescent="0.3">
      <c r="A13" s="72"/>
      <c r="B13" s="78"/>
      <c r="C13" s="49"/>
      <c r="D13" s="50"/>
      <c r="E13" s="79"/>
      <c r="F13" s="87"/>
      <c r="G13" s="83"/>
      <c r="H13" s="26"/>
      <c r="I13" s="28"/>
      <c r="J13" s="83"/>
      <c r="K13" s="26"/>
      <c r="L13" s="27"/>
      <c r="M13" s="57"/>
      <c r="N13" s="26"/>
      <c r="O13" s="27"/>
      <c r="P13" s="28"/>
    </row>
    <row r="14" spans="1:16" x14ac:dyDescent="0.3">
      <c r="A14" s="72"/>
      <c r="B14" s="78"/>
      <c r="C14" s="49"/>
      <c r="D14" s="50"/>
      <c r="E14" s="79"/>
      <c r="F14" s="87"/>
      <c r="G14" s="83"/>
      <c r="H14" s="26"/>
      <c r="I14" s="28"/>
      <c r="J14" s="83"/>
      <c r="K14" s="26"/>
      <c r="L14" s="27"/>
      <c r="M14" s="57"/>
      <c r="N14" s="26"/>
      <c r="O14" s="27"/>
      <c r="P14" s="28"/>
    </row>
    <row r="15" spans="1:16" x14ac:dyDescent="0.3">
      <c r="A15" s="72"/>
      <c r="B15" s="78"/>
      <c r="C15" s="49"/>
      <c r="D15" s="50"/>
      <c r="E15" s="79"/>
      <c r="F15" s="87"/>
      <c r="G15" s="83"/>
      <c r="H15" s="26"/>
      <c r="I15" s="28"/>
      <c r="J15" s="83"/>
      <c r="K15" s="26"/>
      <c r="L15" s="27"/>
      <c r="M15" s="57"/>
      <c r="N15" s="26"/>
      <c r="O15" s="27"/>
      <c r="P15" s="28"/>
    </row>
    <row r="16" spans="1:16" x14ac:dyDescent="0.3">
      <c r="A16" s="72"/>
      <c r="B16" s="78"/>
      <c r="C16" s="49"/>
      <c r="D16" s="50"/>
      <c r="E16" s="79"/>
      <c r="F16" s="87"/>
      <c r="G16" s="83"/>
      <c r="H16" s="26"/>
      <c r="I16" s="28"/>
      <c r="J16" s="83"/>
      <c r="K16" s="26"/>
      <c r="L16" s="27"/>
      <c r="M16" s="57"/>
      <c r="N16" s="26"/>
      <c r="O16" s="27"/>
      <c r="P16" s="28"/>
    </row>
    <row r="17" spans="1:16" x14ac:dyDescent="0.3">
      <c r="A17" s="72"/>
      <c r="B17" s="78"/>
      <c r="C17" s="49"/>
      <c r="D17" s="50"/>
      <c r="E17" s="79"/>
      <c r="F17" s="87"/>
      <c r="G17" s="83"/>
      <c r="H17" s="26"/>
      <c r="I17" s="28"/>
      <c r="J17" s="83"/>
      <c r="K17" s="26"/>
      <c r="L17" s="27"/>
      <c r="M17" s="57"/>
      <c r="N17" s="26"/>
      <c r="O17" s="27"/>
      <c r="P17" s="28"/>
    </row>
    <row r="18" spans="1:16" x14ac:dyDescent="0.3">
      <c r="A18" s="72"/>
      <c r="B18" s="78"/>
      <c r="C18" s="49"/>
      <c r="D18" s="50"/>
      <c r="E18" s="79"/>
      <c r="F18" s="87"/>
      <c r="G18" s="83"/>
      <c r="H18" s="26"/>
      <c r="I18" s="28"/>
      <c r="J18" s="83"/>
      <c r="K18" s="26"/>
      <c r="L18" s="27"/>
      <c r="M18" s="57"/>
      <c r="N18" s="26"/>
      <c r="O18" s="27"/>
      <c r="P18" s="28"/>
    </row>
    <row r="19" spans="1:16" x14ac:dyDescent="0.3">
      <c r="A19" s="72"/>
      <c r="B19" s="78"/>
      <c r="C19" s="49"/>
      <c r="D19" s="50"/>
      <c r="E19" s="79"/>
      <c r="F19" s="87"/>
      <c r="G19" s="83"/>
      <c r="H19" s="26"/>
      <c r="I19" s="28"/>
      <c r="J19" s="83"/>
      <c r="K19" s="26"/>
      <c r="L19" s="27"/>
      <c r="M19" s="57"/>
      <c r="N19" s="26"/>
      <c r="O19" s="27"/>
      <c r="P19" s="28"/>
    </row>
    <row r="20" spans="1:16" x14ac:dyDescent="0.3">
      <c r="A20" s="72"/>
      <c r="B20" s="78"/>
      <c r="C20" s="49"/>
      <c r="D20" s="50"/>
      <c r="E20" s="79"/>
      <c r="F20" s="87"/>
      <c r="G20" s="83"/>
      <c r="H20" s="26"/>
      <c r="I20" s="28"/>
      <c r="J20" s="83"/>
      <c r="K20" s="26"/>
      <c r="L20" s="27"/>
      <c r="M20" s="57"/>
      <c r="N20" s="26"/>
      <c r="O20" s="27"/>
      <c r="P20" s="28"/>
    </row>
    <row r="21" spans="1:16" x14ac:dyDescent="0.3">
      <c r="A21" s="72"/>
      <c r="B21" s="78"/>
      <c r="C21" s="49"/>
      <c r="D21" s="50"/>
      <c r="E21" s="79"/>
      <c r="F21" s="87"/>
      <c r="G21" s="83"/>
      <c r="H21" s="26"/>
      <c r="I21" s="28"/>
      <c r="J21" s="83"/>
      <c r="K21" s="26"/>
      <c r="L21" s="27"/>
      <c r="M21" s="57"/>
      <c r="N21" s="26"/>
      <c r="O21" s="27"/>
      <c r="P21" s="28"/>
    </row>
    <row r="22" spans="1:16" x14ac:dyDescent="0.3">
      <c r="A22" s="72"/>
      <c r="B22" s="78"/>
      <c r="C22" s="49"/>
      <c r="D22" s="50"/>
      <c r="E22" s="79"/>
      <c r="F22" s="87"/>
      <c r="G22" s="83"/>
      <c r="H22" s="26"/>
      <c r="I22" s="28"/>
      <c r="J22" s="83"/>
      <c r="K22" s="26"/>
      <c r="L22" s="27"/>
      <c r="M22" s="57"/>
      <c r="N22" s="26"/>
      <c r="O22" s="27"/>
      <c r="P22" s="28"/>
    </row>
    <row r="23" spans="1:16" x14ac:dyDescent="0.3">
      <c r="A23" s="72"/>
      <c r="B23" s="78"/>
      <c r="C23" s="49"/>
      <c r="D23" s="50"/>
      <c r="E23" s="79"/>
      <c r="F23" s="87"/>
      <c r="G23" s="83"/>
      <c r="H23" s="26"/>
      <c r="I23" s="28"/>
      <c r="J23" s="83"/>
      <c r="K23" s="26"/>
      <c r="L23" s="27"/>
      <c r="M23" s="57"/>
      <c r="N23" s="26"/>
      <c r="O23" s="27"/>
      <c r="P23" s="28"/>
    </row>
    <row r="24" spans="1:16" x14ac:dyDescent="0.3">
      <c r="A24" s="72"/>
      <c r="B24" s="78"/>
      <c r="C24" s="49"/>
      <c r="D24" s="50"/>
      <c r="E24" s="79"/>
      <c r="F24" s="87"/>
      <c r="G24" s="83"/>
      <c r="H24" s="26"/>
      <c r="I24" s="28"/>
      <c r="J24" s="83"/>
      <c r="K24" s="26"/>
      <c r="L24" s="27"/>
      <c r="M24" s="57"/>
      <c r="N24" s="26"/>
      <c r="O24" s="27"/>
      <c r="P24" s="28"/>
    </row>
    <row r="25" spans="1:16" x14ac:dyDescent="0.3">
      <c r="A25" s="72"/>
      <c r="B25" s="78"/>
      <c r="C25" s="49"/>
      <c r="D25" s="50"/>
      <c r="E25" s="79"/>
      <c r="F25" s="87"/>
      <c r="G25" s="83"/>
      <c r="H25" s="26"/>
      <c r="I25" s="28"/>
      <c r="J25" s="83"/>
      <c r="K25" s="26"/>
      <c r="L25" s="27"/>
      <c r="M25" s="57"/>
      <c r="N25" s="26"/>
      <c r="O25" s="27"/>
      <c r="P25" s="28"/>
    </row>
    <row r="26" spans="1:16" x14ac:dyDescent="0.3">
      <c r="A26" s="73"/>
      <c r="B26" s="80"/>
      <c r="C26" s="64"/>
      <c r="D26" s="65"/>
      <c r="E26" s="81"/>
      <c r="F26" s="88"/>
      <c r="G26" s="84"/>
      <c r="H26" s="67"/>
      <c r="I26" s="69"/>
      <c r="J26" s="84"/>
      <c r="K26" s="67"/>
      <c r="L26" s="68"/>
      <c r="M26" s="66"/>
      <c r="N26" s="67"/>
      <c r="O26" s="68"/>
      <c r="P26" s="69"/>
    </row>
  </sheetData>
  <mergeCells count="17">
    <mergeCell ref="L8:L9"/>
    <mergeCell ref="M7:O7"/>
    <mergeCell ref="M8:M9"/>
    <mergeCell ref="A1:P3"/>
    <mergeCell ref="N8:N9"/>
    <mergeCell ref="O8:O9"/>
    <mergeCell ref="A7:F7"/>
    <mergeCell ref="A8:A9"/>
    <mergeCell ref="B8:C8"/>
    <mergeCell ref="D8:E8"/>
    <mergeCell ref="G7:I7"/>
    <mergeCell ref="G8:G9"/>
    <mergeCell ref="H8:H9"/>
    <mergeCell ref="I8:I9"/>
    <mergeCell ref="J7:L7"/>
    <mergeCell ref="J8:J9"/>
    <mergeCell ref="K8:K9"/>
  </mergeCells>
  <conditionalFormatting sqref="A1">
    <cfRule type="cellIs" dxfId="7" priority="5" operator="equal">
      <formula>0</formula>
    </cfRule>
  </conditionalFormatting>
  <conditionalFormatting sqref="A4:A6">
    <cfRule type="cellIs" dxfId="6" priority="2" operator="equal">
      <formula>0</formula>
    </cfRule>
  </conditionalFormatting>
  <conditionalFormatting sqref="G4">
    <cfRule type="cellIs" dxfId="5" priority="3" operator="equal">
      <formula>0</formula>
    </cfRule>
  </conditionalFormatting>
  <conditionalFormatting sqref="L6">
    <cfRule type="cellIs" dxfId="4" priority="1" operator="equal">
      <formula>"RT + H6"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R26"/>
  <sheetViews>
    <sheetView showGridLines="0" view="pageBreakPreview" zoomScaleNormal="100" zoomScaleSheetLayoutView="100" workbookViewId="0">
      <selection activeCell="I18" sqref="I18"/>
    </sheetView>
  </sheetViews>
  <sheetFormatPr defaultRowHeight="14.4" x14ac:dyDescent="0.3"/>
  <cols>
    <col min="1" max="1" width="10.5546875" customWidth="1"/>
    <col min="9" max="11" width="11.88671875" customWidth="1"/>
    <col min="12" max="12" width="11.88671875" hidden="1" customWidth="1"/>
    <col min="13" max="13" width="16.6640625" customWidth="1"/>
    <col min="19" max="19" width="14.109375" customWidth="1"/>
  </cols>
  <sheetData>
    <row r="1" spans="1:18" ht="20.25" customHeight="1" x14ac:dyDescent="0.3">
      <c r="A1" s="98" t="s">
        <v>49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0"/>
      <c r="P1" s="9"/>
      <c r="Q1" s="9"/>
      <c r="R1" s="9"/>
    </row>
    <row r="2" spans="1:18" ht="20.25" customHeight="1" x14ac:dyDescent="0.3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  <c r="P2" s="9"/>
      <c r="Q2" s="9"/>
      <c r="R2" s="9"/>
    </row>
    <row r="3" spans="1:18" ht="20.25" customHeight="1" x14ac:dyDescent="0.3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6"/>
      <c r="P3" s="9"/>
      <c r="Q3" s="9"/>
      <c r="R3" s="9"/>
    </row>
    <row r="4" spans="1:18" x14ac:dyDescent="0.3">
      <c r="A4" s="14" t="s">
        <v>21</v>
      </c>
      <c r="B4" s="16" t="str">
        <f>IDENT!B6</f>
        <v>BR-xxx</v>
      </c>
      <c r="C4" s="16"/>
      <c r="D4" s="16"/>
      <c r="E4" s="17"/>
      <c r="F4" s="18"/>
      <c r="G4" s="15"/>
      <c r="H4" s="16"/>
      <c r="I4" s="11" t="str">
        <f>anexo_b!L4</f>
        <v>SENTIDO:</v>
      </c>
      <c r="J4" s="38" t="str">
        <f>IDENT!B9</f>
        <v>Crescente / Decrescente</v>
      </c>
      <c r="K4" s="15"/>
      <c r="L4" s="15"/>
      <c r="M4" s="6"/>
      <c r="P4" s="9"/>
      <c r="Q4" s="9"/>
      <c r="R4" s="9"/>
    </row>
    <row r="5" spans="1:18" x14ac:dyDescent="0.3">
      <c r="A5" s="14" t="str">
        <f>IDENT!A11</f>
        <v>Trecho:</v>
      </c>
      <c r="B5" s="16" t="str">
        <f>IDENT!B11</f>
        <v>xxxxxx - xxxxxx</v>
      </c>
      <c r="C5" s="16"/>
      <c r="D5" s="16"/>
      <c r="E5" s="17"/>
      <c r="F5" s="18"/>
      <c r="G5" s="19"/>
      <c r="H5" s="16"/>
      <c r="I5" s="12" t="s">
        <v>46</v>
      </c>
      <c r="J5" s="5" t="str">
        <f>TEXT(IDENT!$B$10,"0,00")&amp;" km"</f>
        <v>1000000 km km</v>
      </c>
      <c r="K5" s="15"/>
      <c r="L5" s="15"/>
      <c r="M5" s="6"/>
      <c r="P5" s="9"/>
      <c r="Q5" s="9"/>
      <c r="R5" s="9"/>
    </row>
    <row r="6" spans="1:18" x14ac:dyDescent="0.3">
      <c r="A6" s="20" t="str">
        <f>anexo_b!A6</f>
        <v>SRE :</v>
      </c>
      <c r="B6" s="16" t="str">
        <f>anexo_b!B6</f>
        <v>xxxXXXxxxx</v>
      </c>
      <c r="C6" s="16"/>
      <c r="D6" s="21"/>
      <c r="E6" s="22"/>
      <c r="F6" s="18"/>
      <c r="G6" s="23"/>
      <c r="I6" s="12" t="str">
        <f>anexo_b!L6</f>
        <v>PISTA:</v>
      </c>
      <c r="J6" s="5" t="str">
        <f>anexo_b!M6</f>
        <v>SIMPLES/DUPLA/FAIXA ADICIONAL</v>
      </c>
      <c r="K6" s="18"/>
      <c r="L6" s="18"/>
      <c r="M6" s="33"/>
      <c r="P6" s="9"/>
      <c r="Q6" s="9"/>
      <c r="R6" s="9"/>
    </row>
    <row r="7" spans="1:18" ht="15" customHeight="1" x14ac:dyDescent="0.3">
      <c r="A7" s="110" t="s">
        <v>19</v>
      </c>
      <c r="B7" s="110"/>
      <c r="C7" s="110"/>
      <c r="D7" s="110"/>
      <c r="E7" s="110"/>
      <c r="F7" s="110"/>
      <c r="G7" s="112" t="s">
        <v>42</v>
      </c>
      <c r="H7" s="112" t="s">
        <v>43</v>
      </c>
      <c r="I7" s="109" t="s">
        <v>37</v>
      </c>
      <c r="J7" s="109"/>
      <c r="K7" s="109"/>
      <c r="L7" s="112" t="s">
        <v>55</v>
      </c>
      <c r="M7" s="112" t="s">
        <v>41</v>
      </c>
      <c r="P7" s="9"/>
      <c r="Q7" s="9"/>
      <c r="R7" s="9"/>
    </row>
    <row r="8" spans="1:18" ht="15" customHeight="1" x14ac:dyDescent="0.3">
      <c r="A8" s="109" t="s">
        <v>0</v>
      </c>
      <c r="B8" s="111" t="s">
        <v>6</v>
      </c>
      <c r="C8" s="111"/>
      <c r="D8" s="111" t="s">
        <v>9</v>
      </c>
      <c r="E8" s="111"/>
      <c r="F8" s="35" t="s">
        <v>1</v>
      </c>
      <c r="G8" s="113"/>
      <c r="H8" s="113"/>
      <c r="I8" s="111" t="s">
        <v>38</v>
      </c>
      <c r="J8" s="109" t="s">
        <v>39</v>
      </c>
      <c r="K8" s="109" t="s">
        <v>40</v>
      </c>
      <c r="L8" s="113"/>
      <c r="M8" s="113"/>
      <c r="P8" s="9"/>
      <c r="Q8" s="9"/>
      <c r="R8" s="9"/>
    </row>
    <row r="9" spans="1:18" x14ac:dyDescent="0.3">
      <c r="A9" s="109"/>
      <c r="B9" s="13" t="s">
        <v>7</v>
      </c>
      <c r="C9" s="35" t="s">
        <v>8</v>
      </c>
      <c r="D9" s="13" t="s">
        <v>7</v>
      </c>
      <c r="E9" s="35" t="s">
        <v>8</v>
      </c>
      <c r="F9" s="34" t="s">
        <v>10</v>
      </c>
      <c r="G9" s="114"/>
      <c r="H9" s="114"/>
      <c r="I9" s="109"/>
      <c r="J9" s="109"/>
      <c r="K9" s="109"/>
      <c r="L9" s="114"/>
      <c r="M9" s="114"/>
      <c r="P9" s="9"/>
      <c r="Q9" s="9"/>
      <c r="R9" s="9"/>
    </row>
    <row r="10" spans="1:18" x14ac:dyDescent="0.3">
      <c r="A10" s="51"/>
      <c r="B10" s="52"/>
      <c r="C10" s="52"/>
      <c r="D10" s="53"/>
      <c r="E10" s="53"/>
      <c r="F10" s="52"/>
      <c r="G10" s="54"/>
      <c r="H10" s="55"/>
      <c r="I10" s="55"/>
      <c r="J10" s="55"/>
      <c r="K10" s="55"/>
      <c r="L10" s="55"/>
      <c r="M10" s="56"/>
    </row>
    <row r="11" spans="1:18" x14ac:dyDescent="0.3">
      <c r="A11" s="51"/>
      <c r="B11" s="52"/>
      <c r="C11" s="52"/>
      <c r="D11" s="53"/>
      <c r="E11" s="53"/>
      <c r="F11" s="52"/>
      <c r="G11" s="54"/>
      <c r="H11" s="55"/>
      <c r="I11" s="55"/>
      <c r="J11" s="55"/>
      <c r="K11" s="55"/>
      <c r="L11" s="55"/>
      <c r="M11" s="56"/>
    </row>
    <row r="12" spans="1:18" x14ac:dyDescent="0.3">
      <c r="A12" s="51"/>
      <c r="B12" s="52"/>
      <c r="C12" s="52"/>
      <c r="D12" s="53"/>
      <c r="E12" s="53"/>
      <c r="F12" s="52"/>
      <c r="G12" s="54"/>
      <c r="H12" s="55"/>
      <c r="I12" s="55"/>
      <c r="J12" s="55"/>
      <c r="K12" s="55"/>
      <c r="L12" s="55"/>
      <c r="M12" s="56"/>
    </row>
    <row r="13" spans="1:18" x14ac:dyDescent="0.3">
      <c r="A13" s="51"/>
      <c r="B13" s="52"/>
      <c r="C13" s="52"/>
      <c r="D13" s="53"/>
      <c r="E13" s="53"/>
      <c r="F13" s="52"/>
      <c r="G13" s="54"/>
      <c r="H13" s="55"/>
      <c r="I13" s="55"/>
      <c r="J13" s="55"/>
      <c r="K13" s="55"/>
      <c r="L13" s="55"/>
      <c r="M13" s="56"/>
    </row>
    <row r="14" spans="1:18" x14ac:dyDescent="0.3">
      <c r="A14" s="51"/>
      <c r="B14" s="52"/>
      <c r="C14" s="52"/>
      <c r="D14" s="53"/>
      <c r="E14" s="53"/>
      <c r="F14" s="52"/>
      <c r="G14" s="54"/>
      <c r="H14" s="55"/>
      <c r="I14" s="55"/>
      <c r="J14" s="55"/>
      <c r="K14" s="55"/>
      <c r="L14" s="55"/>
      <c r="M14" s="56"/>
    </row>
    <row r="15" spans="1:18" x14ac:dyDescent="0.3">
      <c r="A15" s="51"/>
      <c r="B15" s="52"/>
      <c r="C15" s="52"/>
      <c r="D15" s="53"/>
      <c r="E15" s="53"/>
      <c r="F15" s="52"/>
      <c r="G15" s="54"/>
      <c r="H15" s="55"/>
      <c r="I15" s="55"/>
      <c r="J15" s="55"/>
      <c r="K15" s="55"/>
      <c r="L15" s="55"/>
      <c r="M15" s="56"/>
    </row>
    <row r="16" spans="1:18" x14ac:dyDescent="0.3">
      <c r="A16" s="51"/>
      <c r="B16" s="52"/>
      <c r="C16" s="52"/>
      <c r="D16" s="53"/>
      <c r="E16" s="53"/>
      <c r="F16" s="52"/>
      <c r="G16" s="54"/>
      <c r="H16" s="55"/>
      <c r="I16" s="55"/>
      <c r="J16" s="55"/>
      <c r="K16" s="55"/>
      <c r="L16" s="55"/>
      <c r="M16" s="56"/>
    </row>
    <row r="17" spans="1:13" x14ac:dyDescent="0.3">
      <c r="A17" s="51"/>
      <c r="B17" s="52"/>
      <c r="C17" s="52"/>
      <c r="D17" s="53"/>
      <c r="E17" s="53"/>
      <c r="F17" s="52"/>
      <c r="G17" s="54"/>
      <c r="H17" s="55"/>
      <c r="I17" s="55"/>
      <c r="J17" s="55"/>
      <c r="K17" s="55"/>
      <c r="L17" s="55"/>
      <c r="M17" s="56"/>
    </row>
    <row r="18" spans="1:13" x14ac:dyDescent="0.3">
      <c r="A18" s="51"/>
      <c r="B18" s="52"/>
      <c r="C18" s="52"/>
      <c r="D18" s="53"/>
      <c r="E18" s="53"/>
      <c r="F18" s="52"/>
      <c r="G18" s="54"/>
      <c r="H18" s="55"/>
      <c r="I18" s="55"/>
      <c r="J18" s="55"/>
      <c r="K18" s="55"/>
      <c r="L18" s="55"/>
      <c r="M18" s="56"/>
    </row>
    <row r="19" spans="1:13" x14ac:dyDescent="0.3">
      <c r="A19" s="51"/>
      <c r="B19" s="52"/>
      <c r="C19" s="52"/>
      <c r="D19" s="53"/>
      <c r="E19" s="53"/>
      <c r="F19" s="52"/>
      <c r="G19" s="54"/>
      <c r="H19" s="55"/>
      <c r="I19" s="55"/>
      <c r="J19" s="55"/>
      <c r="K19" s="55"/>
      <c r="L19" s="55"/>
      <c r="M19" s="56"/>
    </row>
    <row r="20" spans="1:13" x14ac:dyDescent="0.3">
      <c r="A20" s="51"/>
      <c r="B20" s="52"/>
      <c r="C20" s="52"/>
      <c r="D20" s="53"/>
      <c r="E20" s="53"/>
      <c r="F20" s="52"/>
      <c r="G20" s="54"/>
      <c r="H20" s="55"/>
      <c r="I20" s="55"/>
      <c r="J20" s="55"/>
      <c r="K20" s="55"/>
      <c r="L20" s="55"/>
      <c r="M20" s="56"/>
    </row>
    <row r="21" spans="1:13" x14ac:dyDescent="0.3">
      <c r="A21" s="51"/>
      <c r="B21" s="52"/>
      <c r="C21" s="52"/>
      <c r="D21" s="53"/>
      <c r="E21" s="53"/>
      <c r="F21" s="52"/>
      <c r="G21" s="54"/>
      <c r="H21" s="55"/>
      <c r="I21" s="55"/>
      <c r="J21" s="55"/>
      <c r="K21" s="55"/>
      <c r="L21" s="55"/>
      <c r="M21" s="56"/>
    </row>
    <row r="22" spans="1:13" x14ac:dyDescent="0.3">
      <c r="A22" s="51"/>
      <c r="B22" s="52"/>
      <c r="C22" s="52"/>
      <c r="D22" s="53"/>
      <c r="E22" s="53"/>
      <c r="F22" s="52"/>
      <c r="G22" s="54"/>
      <c r="H22" s="55"/>
      <c r="I22" s="55"/>
      <c r="J22" s="55"/>
      <c r="K22" s="55"/>
      <c r="L22" s="55"/>
      <c r="M22" s="56"/>
    </row>
    <row r="23" spans="1:13" x14ac:dyDescent="0.3">
      <c r="A23" s="51"/>
      <c r="B23" s="52"/>
      <c r="C23" s="52"/>
      <c r="D23" s="53"/>
      <c r="E23" s="53"/>
      <c r="F23" s="52"/>
      <c r="G23" s="54"/>
      <c r="H23" s="55"/>
      <c r="I23" s="55"/>
      <c r="J23" s="55"/>
      <c r="K23" s="55"/>
      <c r="L23" s="55"/>
      <c r="M23" s="56"/>
    </row>
    <row r="24" spans="1:13" x14ac:dyDescent="0.3">
      <c r="A24" s="51"/>
      <c r="B24" s="52"/>
      <c r="C24" s="52"/>
      <c r="D24" s="53"/>
      <c r="E24" s="53"/>
      <c r="F24" s="52"/>
      <c r="G24" s="54"/>
      <c r="H24" s="55"/>
      <c r="I24" s="55"/>
      <c r="J24" s="55"/>
      <c r="K24" s="55"/>
      <c r="L24" s="55"/>
      <c r="M24" s="56"/>
    </row>
    <row r="25" spans="1:13" x14ac:dyDescent="0.3">
      <c r="A25" s="51"/>
      <c r="B25" s="52"/>
      <c r="C25" s="52"/>
      <c r="D25" s="53"/>
      <c r="E25" s="53"/>
      <c r="F25" s="52"/>
      <c r="G25" s="54"/>
      <c r="H25" s="55"/>
      <c r="I25" s="55"/>
      <c r="J25" s="55"/>
      <c r="K25" s="55"/>
      <c r="L25" s="55"/>
      <c r="M25" s="56"/>
    </row>
    <row r="26" spans="1:13" x14ac:dyDescent="0.3">
      <c r="A26" s="51"/>
      <c r="B26" s="52"/>
      <c r="C26" s="52"/>
      <c r="D26" s="53"/>
      <c r="E26" s="53"/>
      <c r="F26" s="52"/>
      <c r="G26" s="54"/>
      <c r="H26" s="55"/>
      <c r="I26" s="55"/>
      <c r="J26" s="55"/>
      <c r="K26" s="55"/>
      <c r="L26" s="55"/>
      <c r="M26" s="56"/>
    </row>
  </sheetData>
  <mergeCells count="13">
    <mergeCell ref="A1:M3"/>
    <mergeCell ref="M7:M9"/>
    <mergeCell ref="G7:G9"/>
    <mergeCell ref="H7:H9"/>
    <mergeCell ref="I8:I9"/>
    <mergeCell ref="J8:J9"/>
    <mergeCell ref="K8:K9"/>
    <mergeCell ref="A7:F7"/>
    <mergeCell ref="I7:K7"/>
    <mergeCell ref="A8:A9"/>
    <mergeCell ref="B8:C8"/>
    <mergeCell ref="D8:E8"/>
    <mergeCell ref="L7:L9"/>
  </mergeCells>
  <conditionalFormatting sqref="A1">
    <cfRule type="cellIs" dxfId="3" priority="4" operator="equal">
      <formula>0</formula>
    </cfRule>
  </conditionalFormatting>
  <conditionalFormatting sqref="A4:A6">
    <cfRule type="cellIs" dxfId="2" priority="2" operator="equal">
      <formula>0</formula>
    </cfRule>
  </conditionalFormatting>
  <conditionalFormatting sqref="G4">
    <cfRule type="cellIs" dxfId="1" priority="3" operator="equal">
      <formula>0</formula>
    </cfRule>
  </conditionalFormatting>
  <conditionalFormatting sqref="M6">
    <cfRule type="cellIs" dxfId="0" priority="1" operator="equal">
      <formula>"RT + H6"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IDENT</vt:lpstr>
      <vt:lpstr>anexo_b</vt:lpstr>
      <vt:lpstr>anexo_c</vt:lpstr>
      <vt:lpstr>anexo_d</vt:lpstr>
      <vt:lpstr>anexo_b!Print_Area</vt:lpstr>
      <vt:lpstr>anexo_c!Print_Area</vt:lpstr>
      <vt:lpstr>anexo_d!Print_Area</vt:lpstr>
      <vt:lpstr>anexo_b!Print_Titles</vt:lpstr>
      <vt:lpstr>anexo_c!Print_Titles</vt:lpstr>
      <vt:lpstr>anexo_d!Print_Titles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Cruz</dc:creator>
  <cp:lastModifiedBy>Luciano Carvalho</cp:lastModifiedBy>
  <cp:lastPrinted>2025-08-20T14:08:30Z</cp:lastPrinted>
  <dcterms:created xsi:type="dcterms:W3CDTF">2016-06-13T15:41:35Z</dcterms:created>
  <dcterms:modified xsi:type="dcterms:W3CDTF">2025-12-26T18:08:32Z</dcterms:modified>
</cp:coreProperties>
</file>